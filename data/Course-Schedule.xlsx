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ories\AD688-Web-Analytics\data\"/>
    </mc:Choice>
  </mc:AlternateContent>
  <xr:revisionPtr revIDLastSave="0" documentId="13_ncr:1_{5A02E4A4-2747-42E7-A53C-F07601EF8B2E}" xr6:coauthVersionLast="47" xr6:coauthVersionMax="47" xr10:uidLastSave="{00000000-0000-0000-0000-000000000000}"/>
  <bookViews>
    <workbookView xWindow="28680" yWindow="-120" windowWidth="29040" windowHeight="15720" activeTab="2" xr2:uid="{C4328BA6-33FA-427E-BC48-3CBCC6E5AF69}"/>
  </bookViews>
  <sheets>
    <sheet name="Course Details" sheetId="1" r:id="rId1"/>
    <sheet name="Sections" sheetId="2" r:id="rId2"/>
    <sheet name="Grade" sheetId="3" r:id="rId3"/>
    <sheet name="Day List" sheetId="4" r:id="rId4"/>
    <sheet name="Calendar" sheetId="5" r:id="rId5"/>
    <sheet name="Deliverables" sheetId="6" r:id="rId6"/>
    <sheet name="Grade (2)" sheetId="7" r:id="rId7"/>
  </sheets>
  <definedNames>
    <definedName name="_xlnm._FilterDatabase" localSheetId="0" hidden="1">'Course Details'!$A$1:$A$15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5" i="3"/>
  <c r="C4" i="3"/>
  <c r="I12" i="3"/>
  <c r="H13" i="3"/>
  <c r="C3" i="3"/>
  <c r="H12" i="7"/>
  <c r="H11" i="7"/>
  <c r="H6" i="7"/>
  <c r="H5" i="7"/>
  <c r="H4" i="7"/>
  <c r="H3" i="7"/>
  <c r="H2" i="7"/>
  <c r="H13" i="7" s="1"/>
  <c r="H3" i="5"/>
  <c r="I3" i="5" s="1"/>
  <c r="J3" i="5" s="1"/>
  <c r="K3" i="5" s="1"/>
  <c r="L3" i="5" s="1"/>
  <c r="H2" i="3"/>
  <c r="H3" i="3"/>
  <c r="H4" i="3"/>
  <c r="H5" i="3"/>
  <c r="H10" i="3"/>
  <c r="H11" i="3"/>
  <c r="A4" i="4"/>
  <c r="B4" i="4"/>
  <c r="C4" i="4"/>
  <c r="A5" i="4"/>
  <c r="B5" i="4"/>
  <c r="B6" i="4" s="1"/>
  <c r="B7" i="4" s="1"/>
  <c r="B8" i="4" s="1"/>
  <c r="C5" i="4"/>
  <c r="A6" i="4"/>
  <c r="C6" i="4"/>
  <c r="A7" i="4"/>
  <c r="C7" i="4"/>
  <c r="A8" i="4"/>
  <c r="C8" i="4"/>
  <c r="B3" i="4"/>
  <c r="C3" i="4"/>
  <c r="A3" i="4"/>
  <c r="H2" i="5"/>
  <c r="I2" i="5" s="1"/>
  <c r="J2" i="5" s="1"/>
  <c r="K2" i="5" s="1"/>
  <c r="C2" i="3" l="1"/>
  <c r="I4" i="3"/>
  <c r="L2" i="5"/>
  <c r="I6" i="3" l="1"/>
  <c r="I9" i="3"/>
  <c r="I10" i="3"/>
  <c r="I11" i="3"/>
  <c r="I5" i="3"/>
  <c r="I3" i="3"/>
  <c r="I2" i="3"/>
  <c r="I7" i="3"/>
  <c r="I8" i="3"/>
  <c r="M2" i="5"/>
  <c r="N2" i="5" s="1"/>
  <c r="O2" i="5" s="1"/>
  <c r="P2" i="5" s="1"/>
  <c r="Q2" i="5" s="1"/>
  <c r="R2" i="5" s="1"/>
  <c r="S2" i="5" s="1"/>
</calcChain>
</file>

<file path=xl/sharedStrings.xml><?xml version="1.0" encoding="utf-8"?>
<sst xmlns="http://schemas.openxmlformats.org/spreadsheetml/2006/main" count="301" uniqueCount="165">
  <si>
    <t>Modules</t>
  </si>
  <si>
    <t>Module 1</t>
  </si>
  <si>
    <t>Module 2</t>
  </si>
  <si>
    <t>Module 3</t>
  </si>
  <si>
    <t>Module 4</t>
  </si>
  <si>
    <t>Module 5</t>
  </si>
  <si>
    <t>Module 6</t>
  </si>
  <si>
    <t>Module 0</t>
  </si>
  <si>
    <t>Lecture</t>
  </si>
  <si>
    <t>GitHub Education and Student Account Creations</t>
  </si>
  <si>
    <t>Github Classrooms, Jupyter Notebooks, Quarto, and Portfolio</t>
  </si>
  <si>
    <t>Module 7</t>
  </si>
  <si>
    <t>Title</t>
  </si>
  <si>
    <t>Description</t>
  </si>
  <si>
    <t>Data Lakes/ Warehouses</t>
  </si>
  <si>
    <t>Future of Cloud Analytics and AI</t>
  </si>
  <si>
    <t>Final Presentations</t>
  </si>
  <si>
    <t>Data management and warehousing | Apache Spark, Azure Databricks, and Kafka</t>
  </si>
  <si>
    <t>Storing &amp; Extracting data from lakes/ warehouses (continuation of 1-5 and Project Review)</t>
  </si>
  <si>
    <t xml:space="preserve">Types of Data Visualizations | Exploratory Data Analysis | Data Visualization tools | Google Analytics Integration | Best practices for Dashboard creation | Advanced filtering and Segmentation </t>
  </si>
  <si>
    <t>Nakul Padalkar</t>
  </si>
  <si>
    <t>O2</t>
  </si>
  <si>
    <t>A3</t>
  </si>
  <si>
    <t>A2</t>
  </si>
  <si>
    <t>Tue</t>
  </si>
  <si>
    <t>A1</t>
  </si>
  <si>
    <t>Time</t>
  </si>
  <si>
    <t>Day</t>
  </si>
  <si>
    <t>Section</t>
  </si>
  <si>
    <t>Instructor</t>
  </si>
  <si>
    <t>Cloud Databases with Apache Spark and Databricks</t>
  </si>
  <si>
    <t>Introduction to Spark Analytics</t>
  </si>
  <si>
    <t>Introduction to Big Data and Cloud</t>
  </si>
  <si>
    <t>Data Pipelines with APIs and Cloud Services</t>
  </si>
  <si>
    <t>Course logistics, terminology, development setups, AWS Academy introduction.</t>
  </si>
  <si>
    <t>GitHub, Github Classrooms; Jupyter Notebooks, Quarto overview; submitting practice files.</t>
  </si>
  <si>
    <t>Development environment setup; Explanation of portfolio submissions and group assignments.</t>
  </si>
  <si>
    <t>Cloud architecture overview, storage platforms (AWS, Azure, Google BigQuery).</t>
  </si>
  <si>
    <t>Database modeling, joins, and types of SQL queries. SQL filtering, aggregation, cleaning operations, and joins.</t>
  </si>
  <si>
    <t>Introduction to parallelization, MapReduce, and DuckDB for structured data. Storage &amp; extraction of structured data from API</t>
  </si>
  <si>
    <t>SQL Basics and Data Modeling</t>
  </si>
  <si>
    <t>Advanced SQL and APIs</t>
  </si>
  <si>
    <t>Exploratory Data Analysis and Dashboarding</t>
  </si>
  <si>
    <t>Introduction to Spark and Spark ML</t>
  </si>
  <si>
    <t>Introduction to Spark ML pipelines and distributed analytics.</t>
  </si>
  <si>
    <t>Programming with Giithub Copilot and Natural Language Processing for Programming. Trends in AutoML, serverless analytics, and real-time stream processing.</t>
  </si>
  <si>
    <t>Student presentations on end-to-end cloud analytics projects.</t>
  </si>
  <si>
    <t>Deliverables</t>
  </si>
  <si>
    <t>Git and git website setup</t>
  </si>
  <si>
    <t>Api and data gathering</t>
  </si>
  <si>
    <t>Data cleaning and EDA</t>
  </si>
  <si>
    <t>Analytics, including full website</t>
  </si>
  <si>
    <t>Participation Points</t>
  </si>
  <si>
    <t>Individual Assignments</t>
  </si>
  <si>
    <t>Max Points</t>
  </si>
  <si>
    <t>AWS Academy Cloud Foundation</t>
  </si>
  <si>
    <t>Github+githubpages ePortfolio Creation</t>
  </si>
  <si>
    <t>Total Points</t>
  </si>
  <si>
    <t>Count</t>
  </si>
  <si>
    <t>Group Project milestones</t>
  </si>
  <si>
    <t>Group Project Presentation</t>
  </si>
  <si>
    <t xml:space="preserve">Group Feedback </t>
  </si>
  <si>
    <t>Class Activity</t>
  </si>
  <si>
    <t>Managerial report with  Github</t>
  </si>
  <si>
    <t>Total</t>
  </si>
  <si>
    <t>Spring 2025</t>
  </si>
  <si>
    <t>Last Name</t>
  </si>
  <si>
    <t>BU email</t>
  </si>
  <si>
    <t>Section A1</t>
  </si>
  <si>
    <t>Nakul</t>
  </si>
  <si>
    <t>Padalkar</t>
  </si>
  <si>
    <t>npadalka@bu.edu</t>
  </si>
  <si>
    <t>Weekday</t>
  </si>
  <si>
    <t>Tuesday</t>
  </si>
  <si>
    <t>Thursday</t>
  </si>
  <si>
    <t>Wednesday</t>
  </si>
  <si>
    <t>First Name</t>
  </si>
  <si>
    <t>Assignments</t>
  </si>
  <si>
    <t>Assignment 1</t>
  </si>
  <si>
    <t>Assignment 2</t>
  </si>
  <si>
    <t>Assignment 3</t>
  </si>
  <si>
    <t>Labs</t>
  </si>
  <si>
    <t>Project</t>
  </si>
  <si>
    <t>Lab  1</t>
  </si>
  <si>
    <t>Lab  2</t>
  </si>
  <si>
    <t>Lab  3</t>
  </si>
  <si>
    <t>Lab  4</t>
  </si>
  <si>
    <t>Lab  5</t>
  </si>
  <si>
    <t>Lab  6</t>
  </si>
  <si>
    <t>Lab  7</t>
  </si>
  <si>
    <t>Lab  8</t>
  </si>
  <si>
    <t>Project 1</t>
  </si>
  <si>
    <t>Project 2</t>
  </si>
  <si>
    <t>Project 3</t>
  </si>
  <si>
    <t>Project 4</t>
  </si>
  <si>
    <t>Weekly Labs</t>
  </si>
  <si>
    <t>AWS Certification</t>
  </si>
  <si>
    <t>Github Pages</t>
  </si>
  <si>
    <t>presentations</t>
  </si>
  <si>
    <t>Deliverable type</t>
  </si>
  <si>
    <t>W10D6</t>
  </si>
  <si>
    <t>W11D6</t>
  </si>
  <si>
    <t>W12D6</t>
  </si>
  <si>
    <t>W13D6</t>
  </si>
  <si>
    <t>W14D6</t>
  </si>
  <si>
    <t>W01D6</t>
  </si>
  <si>
    <t>W02D6</t>
  </si>
  <si>
    <t>W03D6</t>
  </si>
  <si>
    <t>W04D6</t>
  </si>
  <si>
    <t>W05D6</t>
  </si>
  <si>
    <t>W06D6</t>
  </si>
  <si>
    <t>W07D6</t>
  </si>
  <si>
    <t>W08D6</t>
  </si>
  <si>
    <t>W09D6</t>
  </si>
  <si>
    <t>W01D1</t>
  </si>
  <si>
    <t>W02D1</t>
  </si>
  <si>
    <t>W03D1</t>
  </si>
  <si>
    <t>W04D1</t>
  </si>
  <si>
    <t>W05D1</t>
  </si>
  <si>
    <t>W06D1</t>
  </si>
  <si>
    <t>W07D1</t>
  </si>
  <si>
    <t>W08D1</t>
  </si>
  <si>
    <t>W09D1</t>
  </si>
  <si>
    <t>W10D1</t>
  </si>
  <si>
    <t>W11D1</t>
  </si>
  <si>
    <t>W12D1</t>
  </si>
  <si>
    <t>W13D1</t>
  </si>
  <si>
    <t>W14D1</t>
  </si>
  <si>
    <t>Spark ML - Regression</t>
  </si>
  <si>
    <t>Spark ML - Classification</t>
  </si>
  <si>
    <t>Points</t>
  </si>
  <si>
    <t>Assignment</t>
  </si>
  <si>
    <t>O1</t>
  </si>
  <si>
    <t>Monday</t>
  </si>
  <si>
    <t>Fall 2025</t>
  </si>
  <si>
    <t>Online/Fall 1</t>
  </si>
  <si>
    <t>Count_norman</t>
  </si>
  <si>
    <t>Online</t>
  </si>
  <si>
    <t>L0.1</t>
  </si>
  <si>
    <t>L0.2</t>
  </si>
  <si>
    <t>L1.1</t>
  </si>
  <si>
    <t>L1.2</t>
  </si>
  <si>
    <t>L2.1</t>
  </si>
  <si>
    <t>L2.2</t>
  </si>
  <si>
    <t>L3.1</t>
  </si>
  <si>
    <t>L3.2</t>
  </si>
  <si>
    <t>L4.1</t>
  </si>
  <si>
    <t>L4.2</t>
  </si>
  <si>
    <t>L5.1</t>
  </si>
  <si>
    <t>L5.2</t>
  </si>
  <si>
    <t>L6.1</t>
  </si>
  <si>
    <t>L6.2</t>
  </si>
  <si>
    <t>L7.1</t>
  </si>
  <si>
    <t>On-Campus</t>
  </si>
  <si>
    <t>L7.2</t>
  </si>
  <si>
    <t>Sree Kumar Valath Bhuan Das</t>
  </si>
  <si>
    <t>vbs</t>
  </si>
  <si>
    <t>npadalka</t>
  </si>
  <si>
    <t>Thu</t>
  </si>
  <si>
    <t>Email @ bu</t>
  </si>
  <si>
    <t>Location</t>
  </si>
  <si>
    <t>685-725 Comm Ave CAS 324</t>
  </si>
  <si>
    <t>100 Cummington Mall SOC B63</t>
  </si>
  <si>
    <t>Attendance and Class etiquette</t>
  </si>
  <si>
    <t>Max_Points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</si>
</sst>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\ AM/PM;@"/>
    <numFmt numFmtId="165" formatCode="d\-mmm\ \(ddd\)"/>
    <numFmt numFmtId="166" formatCode="ddd"/>
  </numFmts>
  <fonts count="1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  <family val="2"/>
    </font>
    <font>
      <sz val="11"/>
      <name val="Aptos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u/>
      <sz val="10"/>
      <color theme="10"/>
      <name val="Aptos"/>
      <family val="2"/>
    </font>
    <font>
      <sz val="10"/>
      <name val="Aptos"/>
      <family val="2"/>
    </font>
    <font>
      <b/>
      <sz val="9"/>
      <color theme="1"/>
      <name val="Aptos"/>
      <family val="2"/>
    </font>
    <font>
      <sz val="9"/>
      <color theme="1"/>
      <name val="Aptos"/>
      <family val="2"/>
    </font>
    <font>
      <sz val="9"/>
      <name val="Aptos"/>
      <family val="2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C00000"/>
      <name val="Aptos Narrow"/>
      <family val="2"/>
      <scheme val="minor"/>
    </font>
    <font>
      <sz val="9"/>
      <color rgb="FF00B050"/>
      <name val="Aptos Narrow"/>
      <family val="2"/>
      <scheme val="minor"/>
    </font>
    <font>
      <sz val="11"/>
      <color rgb="FF090D19"/>
      <name val="Aptos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16" fontId="12" fillId="0" borderId="4" xfId="0" applyNumberFormat="1" applyFont="1" applyBorder="1" applyAlignment="1">
      <alignment horizontal="center" vertical="top"/>
    </xf>
    <xf numFmtId="0" fontId="10" fillId="0" borderId="3" xfId="0" applyFont="1" applyBorder="1" applyAlignment="1">
      <alignment vertical="center"/>
    </xf>
    <xf numFmtId="16" fontId="12" fillId="0" borderId="6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166" fontId="0" fillId="0" borderId="0" xfId="0" applyNumberForma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" fontId="12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center" vertical="center"/>
    </xf>
    <xf numFmtId="16" fontId="14" fillId="0" borderId="0" xfId="0" applyNumberFormat="1" applyFont="1" applyAlignment="1">
      <alignment horizontal="center" vertical="top"/>
    </xf>
    <xf numFmtId="0" fontId="9" fillId="0" borderId="7" xfId="0" applyFont="1" applyBorder="1" applyAlignment="1">
      <alignment horizontal="center" vertical="center"/>
    </xf>
    <xf numFmtId="16" fontId="12" fillId="0" borderId="8" xfId="0" applyNumberFormat="1" applyFont="1" applyBorder="1" applyAlignment="1">
      <alignment horizontal="center" vertical="top"/>
    </xf>
    <xf numFmtId="16" fontId="12" fillId="0" borderId="7" xfId="0" applyNumberFormat="1" applyFont="1" applyBorder="1" applyAlignment="1">
      <alignment horizontal="center" vertical="top"/>
    </xf>
    <xf numFmtId="0" fontId="10" fillId="0" borderId="7" xfId="0" applyFont="1" applyBorder="1" applyAlignment="1">
      <alignment horizontal="center" vertical="center"/>
    </xf>
    <xf numFmtId="16" fontId="14" fillId="0" borderId="7" xfId="0" applyNumberFormat="1" applyFont="1" applyBorder="1" applyAlignment="1">
      <alignment horizontal="center" vertical="top"/>
    </xf>
    <xf numFmtId="0" fontId="10" fillId="0" borderId="2" xfId="0" applyFont="1" applyBorder="1" applyAlignment="1">
      <alignment horizontal="center" vertical="center"/>
    </xf>
    <xf numFmtId="16" fontId="15" fillId="0" borderId="8" xfId="0" applyNumberFormat="1" applyFont="1" applyBorder="1" applyAlignment="1">
      <alignment horizontal="center" vertical="top"/>
    </xf>
    <xf numFmtId="16" fontId="14" fillId="0" borderId="8" xfId="0" applyNumberFormat="1" applyFont="1" applyBorder="1" applyAlignment="1">
      <alignment horizontal="center" vertical="top"/>
    </xf>
    <xf numFmtId="16" fontId="12" fillId="0" borderId="2" xfId="0" applyNumberFormat="1" applyFont="1" applyBorder="1" applyAlignment="1">
      <alignment horizontal="center" vertical="top"/>
    </xf>
    <xf numFmtId="0" fontId="10" fillId="0" borderId="1" xfId="0" applyFont="1" applyBorder="1" applyAlignment="1">
      <alignment vertical="center"/>
    </xf>
    <xf numFmtId="49" fontId="11" fillId="0" borderId="4" xfId="0" applyNumberFormat="1" applyFont="1" applyBorder="1" applyAlignment="1">
      <alignment vertical="center"/>
    </xf>
    <xf numFmtId="49" fontId="11" fillId="0" borderId="6" xfId="0" applyNumberFormat="1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49" fontId="11" fillId="0" borderId="2" xfId="0" applyNumberFormat="1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center"/>
    </xf>
    <xf numFmtId="18" fontId="6" fillId="0" borderId="0" xfId="0" applyNumberFormat="1" applyFont="1" applyAlignment="1">
      <alignment vertical="center"/>
    </xf>
    <xf numFmtId="1" fontId="0" fillId="0" borderId="0" xfId="0" applyNumberFormat="1" applyAlignment="1">
      <alignment horizontal="center"/>
    </xf>
    <xf numFmtId="1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6" fillId="0" borderId="0" xfId="0" applyFont="1"/>
    <xf numFmtId="0" fontId="16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npadalka@bu.edu" TargetMode="External"/><Relationship Id="rId1" Type="http://schemas.openxmlformats.org/officeDocument/2006/relationships/hyperlink" Target="mailto:npadalka@bu.edu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B9C7-FA4C-4BC6-9BB6-9097987499B7}">
  <dimension ref="A1:F17"/>
  <sheetViews>
    <sheetView topLeftCell="A10" workbookViewId="0">
      <selection activeCell="D17" sqref="D17"/>
    </sheetView>
  </sheetViews>
  <sheetFormatPr defaultRowHeight="15" x14ac:dyDescent="0.25"/>
  <cols>
    <col min="1" max="1" width="9.42578125" style="2" bestFit="1" customWidth="1"/>
    <col min="2" max="2" width="11.28515625" style="8" bestFit="1" customWidth="1"/>
    <col min="3" max="3" width="39" style="3" bestFit="1" customWidth="1"/>
    <col min="4" max="4" width="39.7109375" style="3" bestFit="1" customWidth="1"/>
    <col min="5" max="5" width="10.42578125" style="8" bestFit="1" customWidth="1"/>
    <col min="6" max="6" width="11.85546875" style="8" bestFit="1" customWidth="1"/>
    <col min="7" max="16384" width="9.140625" style="1"/>
  </cols>
  <sheetData>
    <row r="1" spans="1:6" x14ac:dyDescent="0.25">
      <c r="A1" s="2" t="s">
        <v>0</v>
      </c>
      <c r="B1" s="8" t="s">
        <v>8</v>
      </c>
      <c r="C1" s="3" t="s">
        <v>12</v>
      </c>
      <c r="D1" s="3" t="s">
        <v>13</v>
      </c>
      <c r="E1" s="8" t="s">
        <v>137</v>
      </c>
      <c r="F1" s="8" t="s">
        <v>153</v>
      </c>
    </row>
    <row r="2" spans="1:6" ht="45" x14ac:dyDescent="0.25">
      <c r="A2" s="2" t="s">
        <v>7</v>
      </c>
      <c r="B2" s="8" t="s">
        <v>138</v>
      </c>
      <c r="C2" s="3" t="s">
        <v>9</v>
      </c>
      <c r="D2" s="3" t="s">
        <v>35</v>
      </c>
    </row>
    <row r="3" spans="1:6" ht="45" x14ac:dyDescent="0.25">
      <c r="A3" s="2" t="s">
        <v>7</v>
      </c>
      <c r="B3" s="8" t="s">
        <v>139</v>
      </c>
      <c r="C3" s="3" t="s">
        <v>10</v>
      </c>
      <c r="D3" s="3" t="s">
        <v>36</v>
      </c>
    </row>
    <row r="4" spans="1:6" ht="45" x14ac:dyDescent="0.25">
      <c r="A4" s="2" t="s">
        <v>1</v>
      </c>
      <c r="B4" s="8" t="s">
        <v>140</v>
      </c>
      <c r="C4" s="59" t="s">
        <v>32</v>
      </c>
      <c r="D4" s="3" t="s">
        <v>34</v>
      </c>
      <c r="E4" s="58"/>
      <c r="F4" s="58"/>
    </row>
    <row r="5" spans="1:6" ht="45" x14ac:dyDescent="0.25">
      <c r="A5" s="2" t="s">
        <v>1</v>
      </c>
      <c r="B5" s="8" t="s">
        <v>141</v>
      </c>
      <c r="C5" s="59" t="s">
        <v>33</v>
      </c>
      <c r="D5" s="3" t="s">
        <v>37</v>
      </c>
      <c r="E5" s="58"/>
      <c r="F5" s="58"/>
    </row>
    <row r="6" spans="1:6" ht="45" x14ac:dyDescent="0.25">
      <c r="A6" s="2" t="s">
        <v>2</v>
      </c>
      <c r="B6" s="8" t="s">
        <v>142</v>
      </c>
      <c r="C6" s="3" t="s">
        <v>40</v>
      </c>
      <c r="D6" s="3" t="s">
        <v>38</v>
      </c>
      <c r="E6" s="58"/>
      <c r="F6" s="58"/>
    </row>
    <row r="7" spans="1:6" ht="60" x14ac:dyDescent="0.25">
      <c r="A7" s="2" t="s">
        <v>2</v>
      </c>
      <c r="B7" s="8" t="s">
        <v>143</v>
      </c>
      <c r="C7" s="3" t="s">
        <v>41</v>
      </c>
      <c r="D7" s="3" t="s">
        <v>39</v>
      </c>
      <c r="E7" s="58"/>
      <c r="F7" s="58"/>
    </row>
    <row r="8" spans="1:6" ht="45" x14ac:dyDescent="0.25">
      <c r="A8" s="2" t="s">
        <v>3</v>
      </c>
      <c r="B8" s="8" t="s">
        <v>144</v>
      </c>
      <c r="C8" s="3" t="s">
        <v>14</v>
      </c>
      <c r="D8" s="3" t="s">
        <v>18</v>
      </c>
      <c r="E8" s="58"/>
      <c r="F8" s="58"/>
    </row>
    <row r="9" spans="1:6" ht="45" x14ac:dyDescent="0.25">
      <c r="A9" s="2" t="s">
        <v>3</v>
      </c>
      <c r="B9" s="8" t="s">
        <v>145</v>
      </c>
      <c r="C9" s="3" t="s">
        <v>30</v>
      </c>
      <c r="D9" s="3" t="s">
        <v>17</v>
      </c>
      <c r="E9" s="58"/>
      <c r="F9" s="58"/>
    </row>
    <row r="10" spans="1:6" ht="75" x14ac:dyDescent="0.25">
      <c r="A10" s="2" t="s">
        <v>4</v>
      </c>
      <c r="B10" s="8" t="s">
        <v>146</v>
      </c>
      <c r="C10" s="3" t="s">
        <v>42</v>
      </c>
      <c r="D10" s="3" t="s">
        <v>19</v>
      </c>
      <c r="E10" s="58"/>
      <c r="F10" s="58"/>
    </row>
    <row r="11" spans="1:6" ht="30" x14ac:dyDescent="0.25">
      <c r="A11" s="2" t="s">
        <v>4</v>
      </c>
      <c r="B11" s="8" t="s">
        <v>147</v>
      </c>
      <c r="C11" s="3" t="s">
        <v>31</v>
      </c>
      <c r="D11" s="3" t="s">
        <v>44</v>
      </c>
      <c r="E11" s="58"/>
      <c r="F11" s="58"/>
    </row>
    <row r="12" spans="1:6" ht="30" x14ac:dyDescent="0.25">
      <c r="A12" s="2" t="s">
        <v>5</v>
      </c>
      <c r="B12" s="8" t="s">
        <v>148</v>
      </c>
      <c r="C12" s="3" t="s">
        <v>43</v>
      </c>
      <c r="D12" s="3" t="s">
        <v>44</v>
      </c>
      <c r="E12" s="58"/>
      <c r="F12" s="58"/>
    </row>
    <row r="13" spans="1:6" ht="30" x14ac:dyDescent="0.25">
      <c r="A13" s="2" t="s">
        <v>5</v>
      </c>
      <c r="B13" s="8" t="s">
        <v>149</v>
      </c>
      <c r="C13" s="3" t="s">
        <v>129</v>
      </c>
      <c r="D13" s="3" t="s">
        <v>44</v>
      </c>
      <c r="E13" s="58"/>
      <c r="F13" s="58"/>
    </row>
    <row r="14" spans="1:6" ht="30" x14ac:dyDescent="0.25">
      <c r="A14" s="2" t="s">
        <v>6</v>
      </c>
      <c r="B14" s="8" t="s">
        <v>150</v>
      </c>
      <c r="C14" s="3" t="s">
        <v>128</v>
      </c>
      <c r="D14" s="3" t="s">
        <v>44</v>
      </c>
      <c r="E14" s="58"/>
      <c r="F14" s="58"/>
    </row>
    <row r="15" spans="1:6" ht="75" x14ac:dyDescent="0.25">
      <c r="A15" s="2" t="s">
        <v>6</v>
      </c>
      <c r="B15" s="8" t="s">
        <v>151</v>
      </c>
      <c r="C15" s="3" t="s">
        <v>15</v>
      </c>
      <c r="D15" s="3" t="s">
        <v>45</v>
      </c>
      <c r="E15" s="58"/>
      <c r="F15" s="58"/>
    </row>
    <row r="16" spans="1:6" ht="30" x14ac:dyDescent="0.25">
      <c r="A16" s="2" t="s">
        <v>11</v>
      </c>
      <c r="B16" s="8" t="s">
        <v>152</v>
      </c>
      <c r="C16" s="3" t="s">
        <v>16</v>
      </c>
      <c r="D16" s="3" t="s">
        <v>46</v>
      </c>
      <c r="F16" s="58"/>
    </row>
    <row r="17" spans="1:4" ht="30" x14ac:dyDescent="0.25">
      <c r="A17" s="2" t="s">
        <v>11</v>
      </c>
      <c r="B17" s="8" t="s">
        <v>154</v>
      </c>
      <c r="C17" s="3" t="s">
        <v>16</v>
      </c>
      <c r="D17" s="3" t="s">
        <v>46</v>
      </c>
    </row>
  </sheetData>
  <phoneticPr fontId="1" type="noConversion"/>
  <pageMargins left="0.7" right="0.7" top="0.75" bottom="0.75" header="0.3" footer="0.3"/>
  <pageSetup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903F-60B6-4480-8E17-3264CEBF972B}">
  <dimension ref="A1:F4"/>
  <sheetViews>
    <sheetView workbookViewId="0">
      <selection activeCell="C22" sqref="C22"/>
    </sheetView>
  </sheetViews>
  <sheetFormatPr defaultRowHeight="15" x14ac:dyDescent="0.25"/>
  <cols>
    <col min="1" max="1" width="8" style="10" bestFit="1" customWidth="1"/>
    <col min="2" max="2" width="23.28515625" style="4" bestFit="1" customWidth="1"/>
    <col min="3" max="3" width="30.28515625" style="4" bestFit="1" customWidth="1"/>
    <col min="4" max="4" width="15.42578125" style="4" customWidth="1"/>
    <col min="5" max="5" width="6.28515625" style="10" bestFit="1" customWidth="1"/>
    <col min="6" max="6" width="15" style="10" bestFit="1" customWidth="1"/>
    <col min="7" max="16384" width="9.140625" style="4"/>
  </cols>
  <sheetData>
    <row r="1" spans="1:6" x14ac:dyDescent="0.25">
      <c r="A1" s="8" t="s">
        <v>28</v>
      </c>
      <c r="B1" s="1" t="s">
        <v>160</v>
      </c>
      <c r="C1" s="1" t="s">
        <v>29</v>
      </c>
      <c r="D1" s="1" t="s">
        <v>159</v>
      </c>
      <c r="E1" s="8" t="s">
        <v>27</v>
      </c>
      <c r="F1" s="8" t="s">
        <v>26</v>
      </c>
    </row>
    <row r="2" spans="1:6" ht="30" x14ac:dyDescent="0.25">
      <c r="A2" s="9" t="s">
        <v>25</v>
      </c>
      <c r="B2" s="61" t="s">
        <v>161</v>
      </c>
      <c r="C2" s="60" t="s">
        <v>155</v>
      </c>
      <c r="D2" s="60" t="s">
        <v>156</v>
      </c>
      <c r="E2" s="5" t="s">
        <v>24</v>
      </c>
      <c r="F2" s="7">
        <v>46028.75</v>
      </c>
    </row>
    <row r="3" spans="1:6" ht="30" x14ac:dyDescent="0.25">
      <c r="A3" s="9" t="s">
        <v>23</v>
      </c>
      <c r="B3" s="61" t="s">
        <v>162</v>
      </c>
      <c r="C3" s="6" t="s">
        <v>20</v>
      </c>
      <c r="D3" s="6" t="s">
        <v>157</v>
      </c>
      <c r="E3" s="5" t="s">
        <v>158</v>
      </c>
      <c r="F3" s="7">
        <v>46028.520833333336</v>
      </c>
    </row>
    <row r="4" spans="1:6" x14ac:dyDescent="0.25">
      <c r="A4" s="9" t="s">
        <v>132</v>
      </c>
      <c r="B4" s="61" t="s">
        <v>137</v>
      </c>
      <c r="C4" s="6" t="s">
        <v>20</v>
      </c>
      <c r="D4" s="6" t="s">
        <v>157</v>
      </c>
      <c r="E4" s="5" t="s">
        <v>24</v>
      </c>
      <c r="F4" s="7">
        <v>46028.791666666664</v>
      </c>
    </row>
  </sheetData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5622-EB65-46C1-981C-2C4BAD807D0A}">
  <dimension ref="A1:I13"/>
  <sheetViews>
    <sheetView tabSelected="1" workbookViewId="0">
      <selection activeCell="E14" sqref="E14"/>
    </sheetView>
  </sheetViews>
  <sheetFormatPr defaultRowHeight="15" x14ac:dyDescent="0.25"/>
  <cols>
    <col min="1" max="1" width="23.5703125" bestFit="1" customWidth="1"/>
    <col min="2" max="2" width="14.140625" style="11" bestFit="1" customWidth="1"/>
    <col min="3" max="3" width="25.28515625" style="11" customWidth="1"/>
    <col min="4" max="4" width="25.28515625" customWidth="1"/>
    <col min="5" max="5" width="46.5703125" style="12" bestFit="1" customWidth="1"/>
    <col min="6" max="6" width="6.140625" style="11" bestFit="1" customWidth="1"/>
    <col min="7" max="7" width="6.140625" style="11" customWidth="1"/>
    <col min="8" max="8" width="9.140625" style="55"/>
  </cols>
  <sheetData>
    <row r="1" spans="1:9" x14ac:dyDescent="0.25">
      <c r="A1" t="s">
        <v>47</v>
      </c>
      <c r="B1" s="11" t="s">
        <v>136</v>
      </c>
      <c r="C1" s="11" t="s">
        <v>164</v>
      </c>
      <c r="E1" s="12" t="s">
        <v>62</v>
      </c>
      <c r="F1" s="11" t="s">
        <v>58</v>
      </c>
      <c r="G1" s="11" t="s">
        <v>130</v>
      </c>
      <c r="H1" s="11" t="s">
        <v>54</v>
      </c>
    </row>
    <row r="2" spans="1:9" x14ac:dyDescent="0.25">
      <c r="A2" t="s">
        <v>52</v>
      </c>
      <c r="B2" s="11">
        <v>2</v>
      </c>
      <c r="C2" s="53">
        <f>SUM(H2:H3)</f>
        <v>100</v>
      </c>
      <c r="E2" s="12" t="s">
        <v>55</v>
      </c>
      <c r="F2" s="53">
        <v>1</v>
      </c>
      <c r="G2" s="53">
        <v>50</v>
      </c>
      <c r="H2" s="57">
        <f>F2*G2</f>
        <v>50</v>
      </c>
      <c r="I2">
        <f t="shared" ref="I2:I12" si="0">H2*100/$H$13</f>
        <v>10</v>
      </c>
    </row>
    <row r="3" spans="1:9" x14ac:dyDescent="0.25">
      <c r="A3" t="s">
        <v>53</v>
      </c>
      <c r="B3" s="11">
        <v>5</v>
      </c>
      <c r="C3" s="53">
        <f>H4</f>
        <v>200</v>
      </c>
      <c r="E3" s="12" t="s">
        <v>56</v>
      </c>
      <c r="F3" s="53">
        <v>1</v>
      </c>
      <c r="G3" s="53">
        <v>50</v>
      </c>
      <c r="H3" s="57">
        <f>F3*G3</f>
        <v>50</v>
      </c>
      <c r="I3">
        <f t="shared" si="0"/>
        <v>10</v>
      </c>
    </row>
    <row r="4" spans="1:9" x14ac:dyDescent="0.25">
      <c r="A4" t="s">
        <v>59</v>
      </c>
      <c r="B4" s="11">
        <v>4</v>
      </c>
      <c r="C4" s="53">
        <f>SUM(H5,H10,H11)</f>
        <v>160</v>
      </c>
      <c r="E4" s="12" t="s">
        <v>131</v>
      </c>
      <c r="F4" s="53">
        <v>5</v>
      </c>
      <c r="G4" s="53">
        <v>40</v>
      </c>
      <c r="H4" s="57">
        <f>F4*G4</f>
        <v>200</v>
      </c>
      <c r="I4">
        <f t="shared" si="0"/>
        <v>40</v>
      </c>
    </row>
    <row r="5" spans="1:9" x14ac:dyDescent="0.25">
      <c r="A5" s="12" t="s">
        <v>163</v>
      </c>
      <c r="B5" s="11">
        <v>1</v>
      </c>
      <c r="C5" s="11">
        <f>H12</f>
        <v>40</v>
      </c>
      <c r="E5" s="12" t="s">
        <v>63</v>
      </c>
      <c r="F5" s="53">
        <v>1</v>
      </c>
      <c r="G5" s="53">
        <v>80</v>
      </c>
      <c r="H5" s="57">
        <f>F5*G5</f>
        <v>80</v>
      </c>
      <c r="I5">
        <f t="shared" si="0"/>
        <v>16</v>
      </c>
    </row>
    <row r="6" spans="1:9" x14ac:dyDescent="0.25">
      <c r="C6" s="53">
        <f>SUM(C2:C5)</f>
        <v>500</v>
      </c>
      <c r="E6" s="54" t="s">
        <v>48</v>
      </c>
      <c r="F6" s="53">
        <v>1</v>
      </c>
      <c r="G6" s="53"/>
      <c r="H6" s="57"/>
      <c r="I6">
        <f t="shared" si="0"/>
        <v>0</v>
      </c>
    </row>
    <row r="7" spans="1:9" x14ac:dyDescent="0.25">
      <c r="E7" s="54" t="s">
        <v>49</v>
      </c>
      <c r="F7" s="53">
        <v>1</v>
      </c>
      <c r="G7" s="53"/>
      <c r="H7" s="57"/>
      <c r="I7">
        <f t="shared" si="0"/>
        <v>0</v>
      </c>
    </row>
    <row r="8" spans="1:9" x14ac:dyDescent="0.25">
      <c r="E8" s="54" t="s">
        <v>50</v>
      </c>
      <c r="F8" s="53">
        <v>1</v>
      </c>
      <c r="G8" s="53"/>
      <c r="H8" s="57"/>
      <c r="I8">
        <f t="shared" si="0"/>
        <v>0</v>
      </c>
    </row>
    <row r="9" spans="1:9" x14ac:dyDescent="0.25">
      <c r="E9" s="54" t="s">
        <v>51</v>
      </c>
      <c r="F9" s="53">
        <v>1</v>
      </c>
      <c r="G9" s="53"/>
      <c r="H9" s="57"/>
      <c r="I9">
        <f t="shared" si="0"/>
        <v>0</v>
      </c>
    </row>
    <row r="10" spans="1:9" x14ac:dyDescent="0.25">
      <c r="E10" t="s">
        <v>60</v>
      </c>
      <c r="F10" s="53">
        <v>1</v>
      </c>
      <c r="G10" s="53">
        <v>40</v>
      </c>
      <c r="H10" s="57">
        <f>F10*G10</f>
        <v>40</v>
      </c>
      <c r="I10">
        <f t="shared" si="0"/>
        <v>8</v>
      </c>
    </row>
    <row r="11" spans="1:9" x14ac:dyDescent="0.25">
      <c r="E11" t="s">
        <v>61</v>
      </c>
      <c r="F11" s="53">
        <v>1</v>
      </c>
      <c r="G11" s="53">
        <v>40</v>
      </c>
      <c r="H11" s="57">
        <f>F11*G11</f>
        <v>40</v>
      </c>
      <c r="I11">
        <f t="shared" si="0"/>
        <v>8</v>
      </c>
    </row>
    <row r="12" spans="1:9" x14ac:dyDescent="0.25">
      <c r="E12" s="12" t="s">
        <v>163</v>
      </c>
      <c r="F12" s="11">
        <v>1</v>
      </c>
      <c r="G12" s="11">
        <v>40</v>
      </c>
      <c r="H12" s="55">
        <v>40</v>
      </c>
      <c r="I12">
        <f t="shared" si="0"/>
        <v>8</v>
      </c>
    </row>
    <row r="13" spans="1:9" x14ac:dyDescent="0.25">
      <c r="E13" s="12" t="s">
        <v>64</v>
      </c>
      <c r="F13" s="53"/>
      <c r="G13" s="53"/>
      <c r="H13" s="53">
        <f>SUM(H2:H12)</f>
        <v>500</v>
      </c>
    </row>
  </sheetData>
  <pageMargins left="0.7" right="0.7" top="0.75" bottom="0.75" header="0.3" footer="0.3"/>
  <pageSetup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69BF-62C5-48DE-B3FF-09F1D26CBD6B}">
  <dimension ref="A1:C8"/>
  <sheetViews>
    <sheetView workbookViewId="0">
      <selection activeCell="H26" sqref="H26"/>
    </sheetView>
  </sheetViews>
  <sheetFormatPr defaultRowHeight="15" x14ac:dyDescent="0.25"/>
  <cols>
    <col min="1" max="2" width="9.42578125" style="11" bestFit="1" customWidth="1"/>
    <col min="3" max="3" width="11.140625" style="11" bestFit="1" customWidth="1"/>
  </cols>
  <sheetData>
    <row r="1" spans="1:3" x14ac:dyDescent="0.25">
      <c r="A1" s="30" t="s">
        <v>25</v>
      </c>
      <c r="B1" s="30" t="s">
        <v>23</v>
      </c>
      <c r="C1" s="30" t="s">
        <v>22</v>
      </c>
    </row>
    <row r="2" spans="1:3" x14ac:dyDescent="0.25">
      <c r="A2" s="29">
        <v>45678</v>
      </c>
      <c r="B2" s="29">
        <v>45680</v>
      </c>
      <c r="C2" s="29">
        <v>45679</v>
      </c>
    </row>
    <row r="3" spans="1:3" x14ac:dyDescent="0.25">
      <c r="A3" s="29">
        <f>A2+1</f>
        <v>45679</v>
      </c>
      <c r="B3" s="29">
        <f t="shared" ref="B3:C3" si="0">B2+1</f>
        <v>45681</v>
      </c>
      <c r="C3" s="29">
        <f t="shared" si="0"/>
        <v>45680</v>
      </c>
    </row>
    <row r="4" spans="1:3" x14ac:dyDescent="0.25">
      <c r="A4" s="29">
        <f t="shared" ref="A4:A8" si="1">A3+1</f>
        <v>45680</v>
      </c>
      <c r="B4" s="29">
        <f t="shared" ref="B4:B8" si="2">B3+1</f>
        <v>45682</v>
      </c>
      <c r="C4" s="29">
        <f t="shared" ref="C4:C8" si="3">C3+1</f>
        <v>45681</v>
      </c>
    </row>
    <row r="5" spans="1:3" x14ac:dyDescent="0.25">
      <c r="A5" s="29">
        <f t="shared" si="1"/>
        <v>45681</v>
      </c>
      <c r="B5" s="29">
        <f t="shared" si="2"/>
        <v>45683</v>
      </c>
      <c r="C5" s="29">
        <f t="shared" si="3"/>
        <v>45682</v>
      </c>
    </row>
    <row r="6" spans="1:3" x14ac:dyDescent="0.25">
      <c r="A6" s="29">
        <f t="shared" si="1"/>
        <v>45682</v>
      </c>
      <c r="B6" s="29">
        <f t="shared" si="2"/>
        <v>45684</v>
      </c>
      <c r="C6" s="29">
        <f t="shared" si="3"/>
        <v>45683</v>
      </c>
    </row>
    <row r="7" spans="1:3" x14ac:dyDescent="0.25">
      <c r="A7" s="29">
        <f t="shared" si="1"/>
        <v>45683</v>
      </c>
      <c r="B7" s="29">
        <f t="shared" si="2"/>
        <v>45685</v>
      </c>
      <c r="C7" s="29">
        <f t="shared" si="3"/>
        <v>45684</v>
      </c>
    </row>
    <row r="8" spans="1:3" x14ac:dyDescent="0.25">
      <c r="A8" s="29">
        <f t="shared" si="1"/>
        <v>45684</v>
      </c>
      <c r="B8" s="29">
        <f t="shared" si="2"/>
        <v>45686</v>
      </c>
      <c r="C8" s="29">
        <f t="shared" si="3"/>
        <v>45685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909F-D47A-4D75-A2A5-F7A82424CDAA}">
  <dimension ref="A1:T5"/>
  <sheetViews>
    <sheetView workbookViewId="0">
      <selection activeCell="L27" sqref="L27"/>
    </sheetView>
  </sheetViews>
  <sheetFormatPr defaultRowHeight="13.5" x14ac:dyDescent="0.25"/>
  <cols>
    <col min="1" max="1" width="11.140625" style="15" bestFit="1" customWidth="1"/>
    <col min="2" max="2" width="10.28515625" style="15" bestFit="1" customWidth="1"/>
    <col min="3" max="3" width="10.140625" style="15" bestFit="1" customWidth="1"/>
    <col min="4" max="4" width="15.7109375" style="15" bestFit="1" customWidth="1"/>
    <col min="5" max="5" width="8.7109375" style="15" bestFit="1" customWidth="1"/>
    <col min="6" max="6" width="7.5703125" style="15" bestFit="1" customWidth="1"/>
    <col min="7" max="7" width="10.5703125" style="15" bestFit="1" customWidth="1"/>
    <col min="8" max="12" width="11.5703125" style="15" bestFit="1" customWidth="1"/>
    <col min="13" max="13" width="10.7109375" style="15" bestFit="1" customWidth="1"/>
    <col min="14" max="16" width="11.7109375" style="15" bestFit="1" customWidth="1"/>
    <col min="17" max="18" width="10.85546875" style="15" bestFit="1" customWidth="1"/>
    <col min="19" max="19" width="11.85546875" style="15" bestFit="1" customWidth="1"/>
    <col min="20" max="20" width="6.28515625" style="15" bestFit="1" customWidth="1"/>
    <col min="21" max="16384" width="9.140625" style="15"/>
  </cols>
  <sheetData>
    <row r="1" spans="1:20" s="13" customFormat="1" x14ac:dyDescent="0.25">
      <c r="A1" s="13" t="s">
        <v>134</v>
      </c>
      <c r="B1" s="14" t="s">
        <v>76</v>
      </c>
      <c r="C1" s="14" t="s">
        <v>66</v>
      </c>
      <c r="D1" s="13" t="s">
        <v>67</v>
      </c>
      <c r="E1" s="13" t="s">
        <v>72</v>
      </c>
      <c r="F1" s="13" t="s">
        <v>26</v>
      </c>
      <c r="G1" s="23" t="s">
        <v>114</v>
      </c>
      <c r="H1" s="36" t="s">
        <v>115</v>
      </c>
      <c r="I1" s="36" t="s">
        <v>116</v>
      </c>
      <c r="J1" s="36" t="s">
        <v>117</v>
      </c>
      <c r="K1" s="36" t="s">
        <v>118</v>
      </c>
      <c r="L1" s="36" t="s">
        <v>119</v>
      </c>
      <c r="M1" s="36" t="s">
        <v>120</v>
      </c>
      <c r="N1" s="36" t="s">
        <v>121</v>
      </c>
      <c r="O1" s="36" t="s">
        <v>122</v>
      </c>
      <c r="P1" s="36" t="s">
        <v>123</v>
      </c>
      <c r="Q1" s="36" t="s">
        <v>124</v>
      </c>
      <c r="R1" s="36" t="s">
        <v>125</v>
      </c>
      <c r="S1" s="36" t="s">
        <v>126</v>
      </c>
      <c r="T1" s="24" t="s">
        <v>127</v>
      </c>
    </row>
    <row r="2" spans="1:20" x14ac:dyDescent="0.25">
      <c r="A2" s="15" t="s">
        <v>68</v>
      </c>
      <c r="B2" s="15" t="s">
        <v>69</v>
      </c>
      <c r="C2" s="15" t="s">
        <v>70</v>
      </c>
      <c r="D2" s="16" t="s">
        <v>71</v>
      </c>
      <c r="E2" s="17" t="s">
        <v>133</v>
      </c>
      <c r="F2" s="18">
        <v>0.60416666666666663</v>
      </c>
      <c r="G2" s="19">
        <v>45908</v>
      </c>
      <c r="H2" s="19">
        <f>G2+7</f>
        <v>45915</v>
      </c>
      <c r="I2" s="19">
        <f t="shared" ref="I2:J2" si="0">H2+7</f>
        <v>45922</v>
      </c>
      <c r="J2" s="19">
        <f t="shared" si="0"/>
        <v>45929</v>
      </c>
      <c r="K2" s="19">
        <f>J2+14</f>
        <v>45943</v>
      </c>
      <c r="L2" s="19">
        <f>K2+7</f>
        <v>45950</v>
      </c>
      <c r="M2" s="19">
        <f>L2+14</f>
        <v>45964</v>
      </c>
      <c r="N2" s="19">
        <f t="shared" ref="N2:S2" si="1">M2+7</f>
        <v>45971</v>
      </c>
      <c r="O2" s="19">
        <f t="shared" si="1"/>
        <v>45978</v>
      </c>
      <c r="P2" s="19">
        <f t="shared" si="1"/>
        <v>45985</v>
      </c>
      <c r="Q2" s="19">
        <f t="shared" si="1"/>
        <v>45992</v>
      </c>
      <c r="R2" s="19">
        <f t="shared" si="1"/>
        <v>45999</v>
      </c>
      <c r="S2" s="19">
        <f t="shared" si="1"/>
        <v>46006</v>
      </c>
    </row>
    <row r="3" spans="1:20" x14ac:dyDescent="0.25">
      <c r="A3" s="15" t="s">
        <v>135</v>
      </c>
      <c r="B3" s="15" t="s">
        <v>69</v>
      </c>
      <c r="C3" s="15" t="s">
        <v>70</v>
      </c>
      <c r="D3" s="16" t="s">
        <v>71</v>
      </c>
      <c r="E3" s="17" t="s">
        <v>73</v>
      </c>
      <c r="F3" s="56">
        <v>0.79166666666666663</v>
      </c>
      <c r="G3" s="19">
        <v>45902</v>
      </c>
      <c r="H3" s="19">
        <f>G3+7</f>
        <v>45909</v>
      </c>
      <c r="I3" s="19">
        <f t="shared" ref="I3" si="2">H3+7</f>
        <v>45916</v>
      </c>
      <c r="J3" s="19">
        <f t="shared" ref="J3" si="3">I3+7</f>
        <v>45923</v>
      </c>
      <c r="K3" s="19">
        <f>J3+14</f>
        <v>45937</v>
      </c>
      <c r="L3" s="19">
        <f>K3+7</f>
        <v>45944</v>
      </c>
      <c r="M3" s="19"/>
      <c r="N3" s="19"/>
      <c r="O3" s="19"/>
      <c r="P3" s="19"/>
      <c r="Q3" s="19"/>
      <c r="R3" s="19"/>
      <c r="S3" s="19"/>
      <c r="T3" s="19"/>
    </row>
    <row r="4" spans="1:20" x14ac:dyDescent="0.25">
      <c r="B4" s="17"/>
      <c r="C4" s="17"/>
      <c r="D4" s="16"/>
      <c r="E4" s="17"/>
    </row>
    <row r="5" spans="1:20" x14ac:dyDescent="0.25">
      <c r="B5" s="17"/>
      <c r="C5" s="17"/>
      <c r="D5" s="16"/>
      <c r="E5" s="17"/>
    </row>
  </sheetData>
  <phoneticPr fontId="1" type="noConversion"/>
  <hyperlinks>
    <hyperlink ref="D2" r:id="rId1" xr:uid="{D41088E8-4522-436F-A00F-8381A5EA12E9}"/>
    <hyperlink ref="D3" r:id="rId2" xr:uid="{14FD7606-A569-4B7C-8C30-7D15089AF33F}"/>
  </hyperlinks>
  <pageMargins left="0.7" right="0.7" top="0.75" bottom="0.75" header="0.3" footer="0.3"/>
  <pageSetup orientation="portrait" verticalDpi="0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2A28-495E-4A30-B917-BD86286CA112}">
  <dimension ref="A1:Q21"/>
  <sheetViews>
    <sheetView workbookViewId="0">
      <selection activeCell="H29" sqref="H29"/>
    </sheetView>
  </sheetViews>
  <sheetFormatPr defaultRowHeight="12" x14ac:dyDescent="0.25"/>
  <cols>
    <col min="1" max="1" width="9.5703125" style="32" bestFit="1" customWidth="1"/>
    <col min="2" max="2" width="14.28515625" style="32" bestFit="1" customWidth="1"/>
    <col min="3" max="3" width="9.7109375" style="32" bestFit="1" customWidth="1"/>
    <col min="4" max="4" width="6.28515625" style="34" bestFit="1" customWidth="1"/>
    <col min="5" max="5" width="7.140625" style="34" bestFit="1" customWidth="1"/>
    <col min="6" max="6" width="10" style="34" bestFit="1" customWidth="1"/>
    <col min="7" max="7" width="6.28515625" style="34" bestFit="1" customWidth="1"/>
    <col min="8" max="8" width="7.140625" style="34" bestFit="1" customWidth="1"/>
    <col min="9" max="9" width="6.28515625" style="34" bestFit="1" customWidth="1"/>
    <col min="10" max="10" width="10" style="34" bestFit="1" customWidth="1"/>
    <col min="11" max="11" width="7.140625" style="34" bestFit="1" customWidth="1"/>
    <col min="12" max="12" width="6.28515625" style="34" bestFit="1" customWidth="1"/>
    <col min="13" max="13" width="13.42578125" style="34" bestFit="1" customWidth="1"/>
    <col min="14" max="14" width="10" style="34" bestFit="1" customWidth="1"/>
    <col min="15" max="16" width="10.5703125" style="34" bestFit="1" customWidth="1"/>
    <col min="17" max="17" width="6.28515625" style="34" bestFit="1" customWidth="1"/>
    <col min="18" max="16384" width="9.140625" style="32"/>
  </cols>
  <sheetData>
    <row r="1" spans="1:17" s="31" customFormat="1" x14ac:dyDescent="0.25">
      <c r="A1" s="50" t="s">
        <v>65</v>
      </c>
      <c r="B1" s="51" t="s">
        <v>99</v>
      </c>
      <c r="C1" s="52" t="s">
        <v>72</v>
      </c>
      <c r="D1" s="36" t="s">
        <v>105</v>
      </c>
      <c r="E1" s="36" t="s">
        <v>106</v>
      </c>
      <c r="F1" s="36" t="s">
        <v>107</v>
      </c>
      <c r="G1" s="36" t="s">
        <v>108</v>
      </c>
      <c r="H1" s="36" t="s">
        <v>109</v>
      </c>
      <c r="I1" s="36" t="s">
        <v>110</v>
      </c>
      <c r="J1" s="36" t="s">
        <v>111</v>
      </c>
      <c r="K1" s="36" t="s">
        <v>112</v>
      </c>
      <c r="L1" s="36" t="s">
        <v>113</v>
      </c>
      <c r="M1" s="36" t="s">
        <v>100</v>
      </c>
      <c r="N1" s="36" t="s">
        <v>101</v>
      </c>
      <c r="O1" s="36" t="s">
        <v>102</v>
      </c>
      <c r="P1" s="36" t="s">
        <v>103</v>
      </c>
      <c r="Q1" s="24" t="s">
        <v>104</v>
      </c>
    </row>
    <row r="2" spans="1:17" x14ac:dyDescent="0.25">
      <c r="A2" s="21" t="s">
        <v>25</v>
      </c>
      <c r="B2" s="32" t="s">
        <v>81</v>
      </c>
      <c r="C2" s="46" t="s">
        <v>73</v>
      </c>
      <c r="D2" s="38" t="s">
        <v>83</v>
      </c>
      <c r="E2" s="38" t="s">
        <v>84</v>
      </c>
      <c r="F2" s="38" t="s">
        <v>85</v>
      </c>
      <c r="G2" s="38" t="s">
        <v>86</v>
      </c>
      <c r="H2" s="38"/>
      <c r="I2" s="38" t="s">
        <v>87</v>
      </c>
      <c r="J2" s="38" t="s">
        <v>88</v>
      </c>
      <c r="K2" s="38" t="s">
        <v>89</v>
      </c>
      <c r="L2" s="38"/>
      <c r="M2" s="38" t="s">
        <v>90</v>
      </c>
      <c r="N2" s="38"/>
      <c r="O2" s="38"/>
      <c r="P2" s="38"/>
      <c r="Q2" s="44"/>
    </row>
    <row r="3" spans="1:17" x14ac:dyDescent="0.25">
      <c r="A3" s="21" t="s">
        <v>23</v>
      </c>
      <c r="B3" s="32" t="s">
        <v>81</v>
      </c>
      <c r="C3" s="46" t="s">
        <v>74</v>
      </c>
      <c r="D3" s="33" t="s">
        <v>83</v>
      </c>
      <c r="E3" s="33" t="s">
        <v>84</v>
      </c>
      <c r="F3" s="33" t="s">
        <v>85</v>
      </c>
      <c r="G3" s="33" t="s">
        <v>86</v>
      </c>
      <c r="H3" s="33"/>
      <c r="I3" s="33" t="s">
        <v>87</v>
      </c>
      <c r="J3" s="33" t="s">
        <v>88</v>
      </c>
      <c r="K3" s="33" t="s">
        <v>89</v>
      </c>
      <c r="L3" s="33"/>
      <c r="M3" s="33" t="s">
        <v>90</v>
      </c>
      <c r="N3" s="33"/>
      <c r="O3" s="33"/>
      <c r="P3" s="33"/>
      <c r="Q3" s="20"/>
    </row>
    <row r="4" spans="1:17" x14ac:dyDescent="0.25">
      <c r="A4" s="21" t="s">
        <v>22</v>
      </c>
      <c r="B4" s="32" t="s">
        <v>81</v>
      </c>
      <c r="C4" s="46" t="s">
        <v>75</v>
      </c>
      <c r="D4" s="33" t="s">
        <v>83</v>
      </c>
      <c r="E4" s="33" t="s">
        <v>84</v>
      </c>
      <c r="F4" s="33" t="s">
        <v>85</v>
      </c>
      <c r="G4" s="33" t="s">
        <v>86</v>
      </c>
      <c r="H4" s="33"/>
      <c r="I4" s="33" t="s">
        <v>87</v>
      </c>
      <c r="J4" s="33" t="s">
        <v>88</v>
      </c>
      <c r="K4" s="33" t="s">
        <v>89</v>
      </c>
      <c r="L4" s="33"/>
      <c r="M4" s="33" t="s">
        <v>90</v>
      </c>
      <c r="N4" s="33"/>
      <c r="O4" s="33"/>
      <c r="P4" s="33"/>
      <c r="Q4" s="20"/>
    </row>
    <row r="5" spans="1:17" x14ac:dyDescent="0.25">
      <c r="A5" s="27" t="s">
        <v>21</v>
      </c>
      <c r="B5" s="28" t="s">
        <v>81</v>
      </c>
      <c r="C5" s="4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22"/>
    </row>
    <row r="6" spans="1:17" x14ac:dyDescent="0.25">
      <c r="A6" s="45" t="s">
        <v>25</v>
      </c>
      <c r="B6" s="48" t="s">
        <v>77</v>
      </c>
      <c r="C6" s="49" t="s">
        <v>73</v>
      </c>
      <c r="D6" s="38"/>
      <c r="E6" s="38"/>
      <c r="G6" s="38" t="s">
        <v>78</v>
      </c>
      <c r="H6" s="38"/>
      <c r="I6" s="38"/>
      <c r="K6" s="38" t="s">
        <v>79</v>
      </c>
      <c r="L6" s="39"/>
      <c r="M6" s="38"/>
      <c r="N6" s="38" t="s">
        <v>80</v>
      </c>
      <c r="P6" s="40"/>
      <c r="Q6" s="41"/>
    </row>
    <row r="7" spans="1:17" x14ac:dyDescent="0.25">
      <c r="A7" s="21" t="s">
        <v>23</v>
      </c>
      <c r="B7" s="32" t="s">
        <v>77</v>
      </c>
      <c r="C7" s="46" t="s">
        <v>74</v>
      </c>
      <c r="D7" s="33"/>
      <c r="E7" s="33"/>
      <c r="G7" s="33" t="s">
        <v>78</v>
      </c>
      <c r="H7" s="33"/>
      <c r="I7" s="33"/>
      <c r="K7" s="33" t="s">
        <v>79</v>
      </c>
      <c r="M7" s="33"/>
      <c r="N7" s="33" t="s">
        <v>80</v>
      </c>
      <c r="P7" s="35"/>
      <c r="Q7" s="25"/>
    </row>
    <row r="8" spans="1:17" x14ac:dyDescent="0.25">
      <c r="A8" s="21" t="s">
        <v>22</v>
      </c>
      <c r="B8" s="32" t="s">
        <v>77</v>
      </c>
      <c r="C8" s="46" t="s">
        <v>75</v>
      </c>
      <c r="D8" s="33"/>
      <c r="E8" s="33"/>
      <c r="G8" s="33" t="s">
        <v>78</v>
      </c>
      <c r="H8" s="33"/>
      <c r="I8" s="33"/>
      <c r="K8" s="33" t="s">
        <v>79</v>
      </c>
      <c r="M8" s="33"/>
      <c r="N8" s="33" t="s">
        <v>80</v>
      </c>
      <c r="P8" s="35"/>
      <c r="Q8" s="25"/>
    </row>
    <row r="9" spans="1:17" x14ac:dyDescent="0.25">
      <c r="A9" s="27" t="s">
        <v>21</v>
      </c>
      <c r="B9" s="28" t="s">
        <v>77</v>
      </c>
      <c r="C9" s="47"/>
      <c r="D9" s="37"/>
      <c r="E9" s="37"/>
      <c r="F9" s="37"/>
      <c r="G9" s="37"/>
      <c r="H9" s="42"/>
      <c r="I9" s="37"/>
      <c r="J9" s="37"/>
      <c r="K9" s="37"/>
      <c r="L9" s="37"/>
      <c r="M9" s="37"/>
      <c r="N9" s="37"/>
      <c r="O9" s="43"/>
      <c r="P9" s="43"/>
      <c r="Q9" s="26"/>
    </row>
    <row r="10" spans="1:17" x14ac:dyDescent="0.25">
      <c r="A10" s="45" t="s">
        <v>25</v>
      </c>
      <c r="B10" s="48" t="s">
        <v>82</v>
      </c>
      <c r="C10" s="49" t="s">
        <v>73</v>
      </c>
      <c r="D10" s="38"/>
      <c r="E10" s="38" t="s">
        <v>91</v>
      </c>
      <c r="F10" s="38"/>
      <c r="G10" s="38"/>
      <c r="H10" s="38" t="s">
        <v>92</v>
      </c>
      <c r="I10" s="38"/>
      <c r="J10" s="38"/>
      <c r="K10" s="38" t="s">
        <v>93</v>
      </c>
      <c r="L10" s="38"/>
      <c r="M10" s="38"/>
      <c r="N10" s="38" t="s">
        <v>94</v>
      </c>
      <c r="O10" s="38" t="s">
        <v>98</v>
      </c>
      <c r="P10" s="38" t="s">
        <v>98</v>
      </c>
      <c r="Q10" s="44"/>
    </row>
    <row r="11" spans="1:17" x14ac:dyDescent="0.25">
      <c r="A11" s="21" t="s">
        <v>23</v>
      </c>
      <c r="B11" s="32" t="s">
        <v>82</v>
      </c>
      <c r="C11" s="46" t="s">
        <v>74</v>
      </c>
      <c r="D11" s="33"/>
      <c r="E11" s="33" t="s">
        <v>91</v>
      </c>
      <c r="F11" s="33"/>
      <c r="G11" s="33"/>
      <c r="H11" s="33" t="s">
        <v>92</v>
      </c>
      <c r="I11" s="33"/>
      <c r="J11" s="33"/>
      <c r="K11" s="33" t="s">
        <v>93</v>
      </c>
      <c r="L11" s="33"/>
      <c r="M11" s="33"/>
      <c r="N11" s="33" t="s">
        <v>94</v>
      </c>
      <c r="O11" s="33" t="s">
        <v>98</v>
      </c>
      <c r="P11" s="33" t="s">
        <v>98</v>
      </c>
      <c r="Q11" s="20"/>
    </row>
    <row r="12" spans="1:17" x14ac:dyDescent="0.25">
      <c r="A12" s="21" t="s">
        <v>22</v>
      </c>
      <c r="B12" s="32" t="s">
        <v>82</v>
      </c>
      <c r="C12" s="46" t="s">
        <v>75</v>
      </c>
      <c r="D12" s="33"/>
      <c r="E12" s="33" t="s">
        <v>91</v>
      </c>
      <c r="F12" s="33"/>
      <c r="G12" s="33"/>
      <c r="H12" s="33" t="s">
        <v>92</v>
      </c>
      <c r="I12" s="33"/>
      <c r="J12" s="33"/>
      <c r="K12" s="33" t="s">
        <v>93</v>
      </c>
      <c r="L12" s="33"/>
      <c r="M12" s="33"/>
      <c r="N12" s="33" t="s">
        <v>94</v>
      </c>
      <c r="O12" s="33" t="s">
        <v>98</v>
      </c>
      <c r="P12" s="33" t="s">
        <v>98</v>
      </c>
      <c r="Q12" s="20"/>
    </row>
    <row r="13" spans="1:17" x14ac:dyDescent="0.25">
      <c r="A13" s="27" t="s">
        <v>21</v>
      </c>
      <c r="B13" s="28" t="s">
        <v>82</v>
      </c>
      <c r="C13" s="4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22"/>
    </row>
    <row r="14" spans="1:17" x14ac:dyDescent="0.25">
      <c r="A14" s="45" t="s">
        <v>25</v>
      </c>
      <c r="B14" s="48" t="s">
        <v>96</v>
      </c>
      <c r="C14" s="49" t="s">
        <v>73</v>
      </c>
      <c r="D14" s="38"/>
      <c r="E14" s="38"/>
      <c r="F14" s="38"/>
      <c r="G14" s="38"/>
      <c r="H14" s="38"/>
      <c r="I14" s="38"/>
      <c r="J14" s="38"/>
      <c r="K14" s="39"/>
      <c r="L14" s="38"/>
      <c r="M14" s="38" t="s">
        <v>100</v>
      </c>
      <c r="N14" s="38"/>
      <c r="O14" s="38"/>
      <c r="P14" s="38"/>
      <c r="Q14" s="44"/>
    </row>
    <row r="15" spans="1:17" x14ac:dyDescent="0.25">
      <c r="A15" s="21" t="s">
        <v>23</v>
      </c>
      <c r="B15" s="32" t="s">
        <v>96</v>
      </c>
      <c r="C15" s="46" t="s">
        <v>74</v>
      </c>
      <c r="D15" s="33"/>
      <c r="E15" s="33"/>
      <c r="F15" s="33"/>
      <c r="G15" s="33"/>
      <c r="H15" s="33"/>
      <c r="I15" s="33"/>
      <c r="J15" s="33"/>
      <c r="L15" s="33"/>
      <c r="M15" s="33" t="s">
        <v>100</v>
      </c>
      <c r="N15" s="33"/>
      <c r="O15" s="33"/>
      <c r="P15" s="33"/>
      <c r="Q15" s="20"/>
    </row>
    <row r="16" spans="1:17" x14ac:dyDescent="0.25">
      <c r="A16" s="21" t="s">
        <v>22</v>
      </c>
      <c r="B16" s="32" t="s">
        <v>96</v>
      </c>
      <c r="C16" s="46" t="s">
        <v>75</v>
      </c>
      <c r="D16" s="33"/>
      <c r="E16" s="33"/>
      <c r="F16" s="33"/>
      <c r="G16" s="33"/>
      <c r="H16" s="33"/>
      <c r="I16" s="33"/>
      <c r="J16" s="33"/>
      <c r="L16" s="33"/>
      <c r="M16" s="33" t="s">
        <v>100</v>
      </c>
      <c r="N16" s="33"/>
      <c r="O16" s="33"/>
      <c r="P16" s="33"/>
      <c r="Q16" s="20"/>
    </row>
    <row r="17" spans="1:17" x14ac:dyDescent="0.25">
      <c r="A17" s="27" t="s">
        <v>21</v>
      </c>
      <c r="B17" s="28" t="s">
        <v>96</v>
      </c>
      <c r="C17" s="47"/>
      <c r="D17" s="37"/>
      <c r="E17" s="37"/>
      <c r="F17" s="37"/>
      <c r="G17" s="37"/>
      <c r="H17" s="37"/>
      <c r="I17" s="37"/>
      <c r="J17" s="37"/>
      <c r="K17" s="37"/>
      <c r="L17" s="37"/>
      <c r="M17" s="37" t="s">
        <v>100</v>
      </c>
      <c r="N17" s="37"/>
      <c r="O17" s="37"/>
      <c r="P17" s="37"/>
      <c r="Q17" s="22"/>
    </row>
    <row r="18" spans="1:17" x14ac:dyDescent="0.25">
      <c r="A18" s="21" t="s">
        <v>25</v>
      </c>
      <c r="B18" s="32" t="s">
        <v>97</v>
      </c>
      <c r="C18" s="46" t="s">
        <v>73</v>
      </c>
      <c r="D18" s="33"/>
      <c r="F18" s="33"/>
      <c r="G18" s="33"/>
      <c r="H18" s="33"/>
      <c r="I18" s="33"/>
      <c r="J18" s="33"/>
      <c r="K18" s="33"/>
      <c r="L18" s="33"/>
      <c r="M18" s="33" t="s">
        <v>100</v>
      </c>
      <c r="N18" s="33"/>
      <c r="O18" s="33"/>
      <c r="P18" s="33"/>
      <c r="Q18" s="20"/>
    </row>
    <row r="19" spans="1:17" x14ac:dyDescent="0.25">
      <c r="A19" s="21" t="s">
        <v>23</v>
      </c>
      <c r="B19" s="32" t="s">
        <v>97</v>
      </c>
      <c r="C19" s="46" t="s">
        <v>74</v>
      </c>
      <c r="D19" s="33"/>
      <c r="F19" s="33"/>
      <c r="G19" s="33"/>
      <c r="H19" s="33"/>
      <c r="I19" s="33"/>
      <c r="J19" s="33"/>
      <c r="K19" s="33"/>
      <c r="L19" s="33"/>
      <c r="M19" s="33" t="s">
        <v>100</v>
      </c>
      <c r="N19" s="33"/>
      <c r="O19" s="33"/>
      <c r="P19" s="33"/>
      <c r="Q19" s="20"/>
    </row>
    <row r="20" spans="1:17" x14ac:dyDescent="0.25">
      <c r="A20" s="21" t="s">
        <v>22</v>
      </c>
      <c r="B20" s="32" t="s">
        <v>97</v>
      </c>
      <c r="C20" s="46" t="s">
        <v>75</v>
      </c>
      <c r="D20" s="33"/>
      <c r="F20" s="33"/>
      <c r="G20" s="33"/>
      <c r="H20" s="33"/>
      <c r="I20" s="33"/>
      <c r="J20" s="33"/>
      <c r="K20" s="33"/>
      <c r="L20" s="33"/>
      <c r="M20" s="33" t="s">
        <v>100</v>
      </c>
      <c r="N20" s="33"/>
      <c r="O20" s="33"/>
      <c r="P20" s="33"/>
      <c r="Q20" s="20"/>
    </row>
    <row r="21" spans="1:17" x14ac:dyDescent="0.25">
      <c r="A21" s="27" t="s">
        <v>21</v>
      </c>
      <c r="B21" s="28" t="s">
        <v>97</v>
      </c>
      <c r="C21" s="47"/>
      <c r="D21" s="37"/>
      <c r="E21" s="37"/>
      <c r="F21" s="37"/>
      <c r="G21" s="37"/>
      <c r="H21" s="37"/>
      <c r="I21" s="37"/>
      <c r="J21" s="37"/>
      <c r="K21" s="37"/>
      <c r="L21" s="37"/>
      <c r="M21" s="37" t="s">
        <v>100</v>
      </c>
      <c r="N21" s="37"/>
      <c r="O21" s="37"/>
      <c r="P21" s="37"/>
      <c r="Q21" s="22"/>
    </row>
  </sheetData>
  <phoneticPr fontId="1" type="noConversion"/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FC5C-A12E-4F00-A5E0-D79D4FF68D90}">
  <dimension ref="A1:H13"/>
  <sheetViews>
    <sheetView workbookViewId="0">
      <selection activeCell="C12" sqref="C12"/>
    </sheetView>
  </sheetViews>
  <sheetFormatPr defaultRowHeight="15" x14ac:dyDescent="0.25"/>
  <cols>
    <col min="1" max="1" width="23.5703125" bestFit="1" customWidth="1"/>
    <col min="2" max="2" width="6.140625" style="11" bestFit="1" customWidth="1"/>
    <col min="3" max="3" width="25.28515625" style="11" customWidth="1"/>
    <col min="4" max="4" width="25.28515625" customWidth="1"/>
    <col min="5" max="5" width="46.5703125" style="12" bestFit="1" customWidth="1"/>
    <col min="6" max="6" width="6.140625" style="11" bestFit="1" customWidth="1"/>
    <col min="7" max="7" width="6.140625" style="11" customWidth="1"/>
    <col min="8" max="8" width="9.140625" style="55"/>
  </cols>
  <sheetData>
    <row r="1" spans="1:8" x14ac:dyDescent="0.25">
      <c r="A1" t="s">
        <v>47</v>
      </c>
      <c r="B1" s="11" t="s">
        <v>136</v>
      </c>
      <c r="C1" s="11" t="s">
        <v>57</v>
      </c>
      <c r="E1" s="12" t="s">
        <v>62</v>
      </c>
      <c r="F1" s="11" t="s">
        <v>58</v>
      </c>
      <c r="G1" s="11" t="s">
        <v>130</v>
      </c>
      <c r="H1" s="11" t="s">
        <v>54</v>
      </c>
    </row>
    <row r="2" spans="1:8" x14ac:dyDescent="0.25">
      <c r="A2" t="s">
        <v>52</v>
      </c>
      <c r="B2" s="11">
        <v>2</v>
      </c>
      <c r="C2" s="11">
        <v>140</v>
      </c>
      <c r="E2" s="12" t="s">
        <v>55</v>
      </c>
      <c r="F2" s="53">
        <v>1</v>
      </c>
      <c r="G2" s="53">
        <v>100</v>
      </c>
      <c r="H2" s="57">
        <f>F2*G2</f>
        <v>100</v>
      </c>
    </row>
    <row r="3" spans="1:8" x14ac:dyDescent="0.25">
      <c r="A3" t="s">
        <v>95</v>
      </c>
      <c r="B3" s="11">
        <v>10</v>
      </c>
      <c r="C3" s="11">
        <v>400</v>
      </c>
      <c r="E3" s="12" t="s">
        <v>56</v>
      </c>
      <c r="F3" s="53">
        <v>1</v>
      </c>
      <c r="G3" s="53">
        <v>40</v>
      </c>
      <c r="H3" s="57">
        <f>F3*G3</f>
        <v>40</v>
      </c>
    </row>
    <row r="4" spans="1:8" x14ac:dyDescent="0.25">
      <c r="A4" t="s">
        <v>53</v>
      </c>
      <c r="B4" s="11">
        <v>3</v>
      </c>
      <c r="C4" s="11">
        <v>210</v>
      </c>
      <c r="E4" s="12" t="s">
        <v>81</v>
      </c>
      <c r="F4" s="53">
        <v>6</v>
      </c>
      <c r="G4" s="53">
        <v>20</v>
      </c>
      <c r="H4" s="57">
        <f>F4*G4</f>
        <v>120</v>
      </c>
    </row>
    <row r="5" spans="1:8" x14ac:dyDescent="0.25">
      <c r="A5" t="s">
        <v>59</v>
      </c>
      <c r="B5" s="11">
        <v>4</v>
      </c>
      <c r="C5" s="11">
        <v>250</v>
      </c>
      <c r="E5" s="12" t="s">
        <v>131</v>
      </c>
      <c r="F5" s="53">
        <v>4</v>
      </c>
      <c r="G5" s="53">
        <v>50</v>
      </c>
      <c r="H5" s="57">
        <f>F5*G5</f>
        <v>200</v>
      </c>
    </row>
    <row r="6" spans="1:8" x14ac:dyDescent="0.25">
      <c r="E6" s="12" t="s">
        <v>63</v>
      </c>
      <c r="F6" s="53">
        <v>1</v>
      </c>
      <c r="G6" s="53">
        <v>80</v>
      </c>
      <c r="H6" s="57">
        <f>F6*G6</f>
        <v>80</v>
      </c>
    </row>
    <row r="7" spans="1:8" x14ac:dyDescent="0.25">
      <c r="E7" s="54" t="s">
        <v>48</v>
      </c>
      <c r="F7" s="53">
        <v>1</v>
      </c>
      <c r="G7" s="53"/>
      <c r="H7" s="57"/>
    </row>
    <row r="8" spans="1:8" x14ac:dyDescent="0.25">
      <c r="E8" s="54" t="s">
        <v>49</v>
      </c>
      <c r="F8" s="53">
        <v>1</v>
      </c>
      <c r="G8" s="53"/>
      <c r="H8" s="57"/>
    </row>
    <row r="9" spans="1:8" x14ac:dyDescent="0.25">
      <c r="E9" s="54" t="s">
        <v>50</v>
      </c>
      <c r="F9" s="53">
        <v>1</v>
      </c>
      <c r="G9" s="53"/>
      <c r="H9" s="57"/>
    </row>
    <row r="10" spans="1:8" x14ac:dyDescent="0.25">
      <c r="E10" s="54" t="s">
        <v>51</v>
      </c>
      <c r="F10" s="53">
        <v>1</v>
      </c>
      <c r="G10" s="53"/>
      <c r="H10" s="57"/>
    </row>
    <row r="11" spans="1:8" x14ac:dyDescent="0.25">
      <c r="E11" t="s">
        <v>60</v>
      </c>
      <c r="F11" s="53">
        <v>1</v>
      </c>
      <c r="G11" s="53">
        <v>40</v>
      </c>
      <c r="H11" s="57">
        <f>F11*G11</f>
        <v>40</v>
      </c>
    </row>
    <row r="12" spans="1:8" x14ac:dyDescent="0.25">
      <c r="E12" t="s">
        <v>61</v>
      </c>
      <c r="F12" s="53">
        <v>1</v>
      </c>
      <c r="G12" s="53">
        <v>40</v>
      </c>
      <c r="H12" s="57">
        <f>F12*G12</f>
        <v>40</v>
      </c>
    </row>
    <row r="13" spans="1:8" x14ac:dyDescent="0.25">
      <c r="E13" s="12" t="s">
        <v>64</v>
      </c>
      <c r="F13" s="53"/>
      <c r="G13" s="53"/>
      <c r="H13" s="53">
        <f>SUM(H2:H12)</f>
        <v>620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Course Details</vt:lpstr>
      <vt:lpstr>Sections</vt:lpstr>
      <vt:lpstr>Grade</vt:lpstr>
      <vt:lpstr>Day List</vt:lpstr>
      <vt:lpstr>Calendar</vt:lpstr>
      <vt:lpstr>Deliverables</vt:lpstr>
      <vt:lpstr>Grade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Padalkar, Nakul R.</dc:creator>
  <cp:lastModifiedBy>Padalkar, Nakul R.</cp:lastModifiedBy>
  <dcterms:created xsi:type="dcterms:W3CDTF">2025-01-02T21:32:25Z</dcterms:created>
  <dcterms:modified xsi:type="dcterms:W3CDTF">2026-01-05T18:33:09Z</dcterms:modified>
</cp:coreProperties>
</file>